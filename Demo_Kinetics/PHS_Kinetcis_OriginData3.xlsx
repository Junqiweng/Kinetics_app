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7"/>
  <workbookPr/>
  <mc:AlternateContent xmlns:mc="http://schemas.openxmlformats.org/markup-compatibility/2006">
    <mc:Choice Requires="x15">
      <x15ac:absPath xmlns:x15ac="http://schemas.microsoft.com/office/spreadsheetml/2010/11/ac" url="https://d.docs.live.net/4bc494d5d38e1f84/Desktop/"/>
    </mc:Choice>
  </mc:AlternateContent>
  <xr:revisionPtr revIDLastSave="651" documentId="11_591D586837016B2D7152D5CCA196DD333DDF6202" xr6:coauthVersionLast="47" xr6:coauthVersionMax="47" xr10:uidLastSave="{2F228371-A5E4-406A-858E-9032BA48665A}"/>
  <bookViews>
    <workbookView xWindow="-108" yWindow="-108" windowWidth="23256" windowHeight="12456" xr2:uid="{00000000-000D-0000-FFFF-FFFF00000000}"/>
  </bookViews>
  <sheets>
    <sheet name="Sheet2" sheetId="2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  <c r="W3" i="2"/>
  <c r="V3" i="2"/>
  <c r="S4" i="2"/>
  <c r="S5" i="2"/>
  <c r="S6" i="2"/>
  <c r="S7" i="2"/>
  <c r="S3" i="2"/>
  <c r="O3" i="2"/>
  <c r="P3" i="2" s="1"/>
  <c r="O4" i="2"/>
  <c r="P4" i="2" s="1"/>
  <c r="O5" i="2"/>
  <c r="P5" i="2" s="1"/>
  <c r="O6" i="2"/>
  <c r="P6" i="2" s="1"/>
  <c r="T7" i="2" s="1"/>
  <c r="O7" i="2"/>
  <c r="P7" i="2" s="1"/>
  <c r="T6" i="2" s="1"/>
  <c r="O8" i="2"/>
  <c r="P8" i="2" s="1"/>
  <c r="T5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5" i="2"/>
  <c r="P25" i="2" s="1"/>
  <c r="O26" i="2"/>
  <c r="P26" i="2" s="1"/>
  <c r="O27" i="2"/>
  <c r="P27" i="2" s="1"/>
  <c r="O28" i="2"/>
  <c r="P28" i="2" s="1"/>
  <c r="O2" i="2"/>
  <c r="P2" i="2" s="1"/>
  <c r="J24" i="2"/>
  <c r="O24" i="2" s="1"/>
  <c r="P24" i="2" s="1"/>
  <c r="E28" i="2"/>
  <c r="D28" i="2"/>
  <c r="F28" i="2" s="1"/>
  <c r="L28" i="2" s="1"/>
  <c r="E27" i="2"/>
  <c r="D27" i="2"/>
  <c r="F27" i="2" s="1"/>
  <c r="L27" i="2" s="1"/>
  <c r="E26" i="2"/>
  <c r="D26" i="2"/>
  <c r="F26" i="2" s="1"/>
  <c r="L26" i="2" s="1"/>
  <c r="E25" i="2"/>
  <c r="D25" i="2"/>
  <c r="F25" i="2" s="1"/>
  <c r="L25" i="2" s="1"/>
  <c r="E24" i="2"/>
  <c r="D24" i="2"/>
  <c r="F24" i="2" s="1"/>
  <c r="L24" i="2" s="1"/>
  <c r="E23" i="2"/>
  <c r="D23" i="2"/>
  <c r="F23" i="2" s="1"/>
  <c r="L23" i="2" s="1"/>
  <c r="E22" i="2"/>
  <c r="D22" i="2"/>
  <c r="F22" i="2" s="1"/>
  <c r="L22" i="2" s="1"/>
  <c r="E21" i="2"/>
  <c r="D21" i="2"/>
  <c r="F21" i="2" s="1"/>
  <c r="L21" i="2" s="1"/>
  <c r="E20" i="2"/>
  <c r="E19" i="2"/>
  <c r="E18" i="2"/>
  <c r="E17" i="2"/>
  <c r="E16" i="2"/>
  <c r="D20" i="2"/>
  <c r="F20" i="2" s="1"/>
  <c r="L20" i="2" s="1"/>
  <c r="D19" i="2"/>
  <c r="F19" i="2" s="1"/>
  <c r="L19" i="2" s="1"/>
  <c r="D18" i="2"/>
  <c r="F18" i="2" s="1"/>
  <c r="L18" i="2" s="1"/>
  <c r="D17" i="2"/>
  <c r="F17" i="2" s="1"/>
  <c r="L17" i="2" s="1"/>
  <c r="D16" i="2"/>
  <c r="F16" i="2" s="1"/>
  <c r="L16" i="2" s="1"/>
  <c r="E5" i="2"/>
  <c r="E15" i="2"/>
  <c r="E14" i="2"/>
  <c r="G14" i="2" s="1"/>
  <c r="E13" i="2"/>
  <c r="G13" i="2" s="1"/>
  <c r="E12" i="2"/>
  <c r="G15" i="2"/>
  <c r="E11" i="2"/>
  <c r="E10" i="2"/>
  <c r="D11" i="2"/>
  <c r="F11" i="2" s="1"/>
  <c r="L11" i="2" s="1"/>
  <c r="D10" i="2"/>
  <c r="F10" i="2" s="1"/>
  <c r="L10" i="2" s="1"/>
  <c r="D12" i="2"/>
  <c r="F12" i="2" s="1"/>
  <c r="L12" i="2" s="1"/>
  <c r="D13" i="2"/>
  <c r="F13" i="2" s="1"/>
  <c r="L13" i="2" s="1"/>
  <c r="D14" i="2"/>
  <c r="F14" i="2" s="1"/>
  <c r="L14" i="2" s="1"/>
  <c r="D15" i="2"/>
  <c r="F15" i="2" s="1"/>
  <c r="L15" i="2" s="1"/>
  <c r="D2" i="2"/>
  <c r="E9" i="2"/>
  <c r="D9" i="2"/>
  <c r="F9" i="2" s="1"/>
  <c r="L9" i="2" s="1"/>
  <c r="E8" i="2"/>
  <c r="D8" i="2"/>
  <c r="F8" i="2" s="1"/>
  <c r="L8" i="2" s="1"/>
  <c r="E7" i="2"/>
  <c r="D7" i="2"/>
  <c r="F7" i="2" s="1"/>
  <c r="L7" i="2" s="1"/>
  <c r="E6" i="2"/>
  <c r="D6" i="2"/>
  <c r="F6" i="2" s="1"/>
  <c r="L6" i="2" s="1"/>
  <c r="D5" i="2"/>
  <c r="F5" i="2" s="1"/>
  <c r="L5" i="2" s="1"/>
  <c r="E4" i="2"/>
  <c r="G4" i="2" s="1"/>
  <c r="D4" i="2"/>
  <c r="F4" i="2" s="1"/>
  <c r="L4" i="2" s="1"/>
  <c r="E3" i="2"/>
  <c r="G3" i="2" s="1"/>
  <c r="D3" i="2"/>
  <c r="F3" i="2" s="1"/>
  <c r="L3" i="2" s="1"/>
  <c r="E2" i="2"/>
  <c r="G2" i="2" s="1"/>
  <c r="F2" i="2"/>
  <c r="L2" i="2" s="1"/>
  <c r="T3" i="2" l="1"/>
  <c r="H14" i="2"/>
  <c r="H15" i="2"/>
  <c r="H13" i="2"/>
  <c r="G28" i="2"/>
  <c r="H28" i="2"/>
  <c r="H27" i="2"/>
  <c r="G27" i="2"/>
  <c r="H26" i="2"/>
  <c r="G26" i="2"/>
  <c r="G25" i="2"/>
  <c r="H25" i="2"/>
  <c r="G24" i="2"/>
  <c r="H24" i="2"/>
  <c r="G23" i="2"/>
  <c r="H23" i="2"/>
  <c r="G22" i="2"/>
  <c r="H22" i="2"/>
  <c r="H21" i="2"/>
  <c r="G21" i="2"/>
  <c r="G20" i="2"/>
  <c r="H20" i="2"/>
  <c r="G19" i="2"/>
  <c r="H19" i="2"/>
  <c r="H18" i="2"/>
  <c r="G18" i="2"/>
  <c r="G17" i="2"/>
  <c r="H17" i="2"/>
  <c r="H16" i="2"/>
  <c r="G16" i="2"/>
  <c r="H11" i="2"/>
  <c r="G11" i="2"/>
  <c r="G10" i="2"/>
  <c r="H10" i="2"/>
  <c r="T4" i="2"/>
  <c r="H12" i="2"/>
  <c r="G12" i="2"/>
  <c r="H3" i="2"/>
  <c r="H5" i="2"/>
  <c r="H6" i="2"/>
  <c r="H7" i="2"/>
  <c r="G7" i="2"/>
  <c r="H8" i="2"/>
  <c r="H9" i="2"/>
  <c r="H4" i="2"/>
  <c r="G5" i="2"/>
  <c r="G9" i="2"/>
  <c r="G8" i="2"/>
  <c r="H2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Junqi Weng</author>
  </authors>
  <commentList>
    <comment ref="A12" authorId="0" shapeId="0" xr:uid="{4D40EB6D-6F34-442A-A065-345ED0972105}">
      <text>
        <r>
          <rPr>
            <b/>
            <sz val="9"/>
            <color indexed="81"/>
            <rFont val="宋体"/>
            <family val="3"/>
            <charset val="134"/>
          </rPr>
          <t>Junqi Weng:</t>
        </r>
        <r>
          <rPr>
            <sz val="9"/>
            <color indexed="81"/>
            <rFont val="宋体"/>
            <family val="3"/>
            <charset val="134"/>
          </rPr>
          <t xml:space="preserve">
引发剂浓度的影响</t>
        </r>
      </text>
    </comment>
    <comment ref="A16" authorId="0" shapeId="0" xr:uid="{CE504AAE-F043-4158-8FFC-F6EBEF9EF034}">
      <text>
        <r>
          <rPr>
            <b/>
            <sz val="9"/>
            <color indexed="81"/>
            <rFont val="宋体"/>
          </rPr>
          <t>Junqi Weng:</t>
        </r>
        <r>
          <rPr>
            <sz val="9"/>
            <color indexed="81"/>
            <rFont val="宋体"/>
          </rPr>
          <t xml:space="preserve">
单体浓度的影响
</t>
        </r>
      </text>
    </comment>
    <comment ref="A21" authorId="0" shapeId="0" xr:uid="{96226C3C-DBC8-4936-98D3-1296C6E04407}">
      <text>
        <r>
          <rPr>
            <b/>
            <sz val="9"/>
            <color indexed="81"/>
            <rFont val="宋体"/>
          </rPr>
          <t>Junqi Weng:</t>
        </r>
        <r>
          <rPr>
            <sz val="9"/>
            <color indexed="81"/>
            <rFont val="宋体"/>
          </rPr>
          <t xml:space="preserve">
给韩工的数据</t>
        </r>
      </text>
    </comment>
  </commentList>
</comments>
</file>

<file path=xl/sharedStrings.xml><?xml version="1.0" encoding="utf-8"?>
<sst xmlns="http://schemas.openxmlformats.org/spreadsheetml/2006/main" count="31" uniqueCount="28">
  <si>
    <t>单体进料量 ml/min</t>
    <phoneticPr fontId="1" type="noConversion"/>
  </si>
  <si>
    <t>引发剂进料量 ml/min</t>
    <phoneticPr fontId="1" type="noConversion"/>
  </si>
  <si>
    <t>单体进料量  mol/min</t>
    <phoneticPr fontId="1" type="noConversion"/>
  </si>
  <si>
    <t>引发剂进料量  mol/min</t>
    <phoneticPr fontId="1" type="noConversion"/>
  </si>
  <si>
    <t>单体转化率</t>
    <phoneticPr fontId="1" type="noConversion"/>
  </si>
  <si>
    <t>反应温度°C</t>
    <phoneticPr fontId="1" type="noConversion"/>
  </si>
  <si>
    <t>反应器体积ml</t>
    <phoneticPr fontId="1" type="noConversion"/>
  </si>
  <si>
    <t>单引比</t>
    <phoneticPr fontId="1" type="noConversion"/>
  </si>
  <si>
    <t>温度</t>
    <phoneticPr fontId="1" type="noConversion"/>
  </si>
  <si>
    <t>引发剂转化率</t>
    <phoneticPr fontId="1" type="noConversion"/>
  </si>
  <si>
    <t>引发剂转化率(%)</t>
    <phoneticPr fontId="1" type="noConversion"/>
  </si>
  <si>
    <t>反应时间</t>
    <phoneticPr fontId="1" type="noConversion"/>
  </si>
  <si>
    <t>k</t>
    <phoneticPr fontId="1" type="noConversion"/>
  </si>
  <si>
    <t>lnk</t>
    <phoneticPr fontId="1" type="noConversion"/>
  </si>
  <si>
    <t>Ea</t>
    <phoneticPr fontId="1" type="noConversion"/>
  </si>
  <si>
    <t>T</t>
    <phoneticPr fontId="1" type="noConversion"/>
  </si>
  <si>
    <t>1/T</t>
    <phoneticPr fontId="1" type="noConversion"/>
  </si>
  <si>
    <t>ln(k)</t>
    <phoneticPr fontId="1" type="noConversion"/>
  </si>
  <si>
    <r>
      <t>单体浓度（mol/m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>）</t>
    </r>
    <phoneticPr fontId="1" type="noConversion"/>
  </si>
  <si>
    <r>
      <t>引发剂浓度（mol/m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>）</t>
    </r>
    <phoneticPr fontId="1" type="noConversion"/>
  </si>
  <si>
    <r>
      <t>单体出口浓度(mol/m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</si>
  <si>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单体转化率 (%)</t>
    <phoneticPr fontId="1" type="noConversion"/>
  </si>
  <si>
    <t>引发剂浓度的影响</t>
    <phoneticPr fontId="1" type="noConversion"/>
  </si>
  <si>
    <t>温度的影响</t>
    <phoneticPr fontId="1" type="noConversion"/>
  </si>
  <si>
    <t>引发剂转化率 (%)</t>
    <phoneticPr fontId="1" type="noConversion"/>
  </si>
  <si>
    <t>单体浓度的影响</t>
    <phoneticPr fontId="1" type="noConversion"/>
  </si>
  <si>
    <t>单体进料浓度 (wt.%)</t>
    <phoneticPr fontId="1" type="noConversion"/>
  </si>
  <si>
    <t>引发剂进口浓度 (wt.%)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</si>
</sst>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E+00"/>
    <numFmt numFmtId="177" formatCode="0.00_ "/>
    <numFmt numFmtId="178" formatCode="0.0000_ "/>
    <numFmt numFmtId="179" formatCode="0_ 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9"/>
      <color indexed="81"/>
      <name val="宋体"/>
    </font>
    <font>
      <b/>
      <sz val="9"/>
      <color indexed="81"/>
      <name val="宋体"/>
    </font>
    <font>
      <b/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11"/>
      <color theme="8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179" fontId="8" fillId="2" borderId="2" xfId="0" applyNumberFormat="1" applyFont="1" applyFill="1" applyBorder="1" applyAlignment="1">
      <alignment horizontal="center" vertical="center"/>
    </xf>
    <xf numFmtId="179" fontId="0" fillId="2" borderId="2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11" fontId="8" fillId="0" borderId="1" xfId="0" applyNumberFormat="1" applyFont="1" applyBorder="1" applyAlignment="1">
      <alignment horizontal="center" vertical="center"/>
    </xf>
    <xf numFmtId="11" fontId="8" fillId="2" borderId="1" xfId="0" applyNumberFormat="1" applyFon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11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4AFF6855-7C9A-4353-B7DE-6C09BD93A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706616857215191E-3"/>
                  <c:y val="-0.45306088832762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Sheet2!$S$3:$S$7</c:f>
              <c:numCache>
                <c:formatCode>0.0000_ </c:formatCode>
                <c:ptCount val="5"/>
                <c:pt idx="0">
                  <c:v>2.7921262041044259E-3</c:v>
                </c:pt>
                <c:pt idx="1">
                  <c:v>2.7536830510808208E-3</c:v>
                </c:pt>
                <c:pt idx="2">
                  <c:v>2.831657935721365E-3</c:v>
                </c:pt>
                <c:pt idx="3">
                  <c:v>2.8723251472066642E-3</c:v>
                </c:pt>
                <c:pt idx="4">
                  <c:v>2.9572674848440043E-3</c:v>
                </c:pt>
              </c:numCache>
            </c:numRef>
          </c:xVal>
          <c:yVal>
            <c:numRef>
              <c:f>Sheet2!$T$3:$T$7</c:f>
              <c:numCache>
                <c:formatCode>0.00_ </c:formatCode>
                <c:ptCount val="5"/>
                <c:pt idx="0">
                  <c:v>-8.875946447192204</c:v>
                </c:pt>
                <c:pt idx="1">
                  <c:v>-8.4812080843421889</c:v>
                </c:pt>
                <c:pt idx="2">
                  <c:v>-9.5423857078693679</c:v>
                </c:pt>
                <c:pt idx="3">
                  <c:v>-9.9038091721644204</c:v>
                </c:pt>
                <c:pt idx="4">
                  <c:v>-11.470238126219277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C-47F9-982A-43C67BC3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985392"/>
        <c:axId val="1774986352"/>
      </c:scatterChart>
      <c:valAx>
        <c:axId val="17749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986352"/>
        <c:crossesAt val="-14"/>
        <c:crossBetween val="midCat"/>
      </c:valAx>
      <c:valAx>
        <c:axId val="1774986352"/>
        <c:scaling>
          <c:orientation val="minMax"/>
          <c:max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9853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590337</xdr:colOff>
      <xdr:row>10</xdr:row>
      <xdr:rowOff>56799</xdr:rowOff>
    </xdr:from>
    <xdr:to>
      <xdr:col>23</xdr:col>
      <xdr:colOff>125517</xdr:colOff>
      <xdr:row>25</xdr:row>
      <xdr:rowOff>171098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420F31B-B77E-3107-D617-D529B7DF1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D2CD4A-F9C0-492D-9E01-227FEED7A382}">
  <we:reference id="wa200009404" version="1.0.0.5" store="zh-CN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C1AC-A0F3-456D-AF0B-552ED7A8F330}">
  <dimension ref="A1:Y35"/>
  <sheetViews>
    <sheetView tabSelected="1" topLeftCell="D1" zoomScaleNormal="100" workbookViewId="0">
      <selection activeCell="K3" sqref="K3"/>
    </sheetView>
  </sheetViews>
  <sheetFormatPr defaultRowHeight="13.8" x14ac:dyDescent="0.25"/>
  <cols>
    <col min="1" max="1" width="11" customWidth="1"/>
    <col min="2" max="3" width="15" customWidth="1"/>
    <col min="4" max="4" width="17.77734375" style="2" customWidth="1"/>
    <col min="5" max="5" width="14.33203125" style="2" bestFit="1" customWidth="1"/>
    <col min="6" max="6" width="13.109375" style="4" customWidth="1"/>
    <col min="7" max="7" width="11.88671875" style="4" customWidth="1"/>
    <col min="8" max="8" width="13.21875" style="6" bestFit="1" customWidth="1"/>
    <col min="9" max="9" width="9" bestFit="1" customWidth="1"/>
    <col min="10" max="10" width="12.109375" customWidth="1"/>
    <col min="11" max="11" width="19.33203125" style="1" customWidth="1"/>
    <col min="12" max="12" width="22" style="3" customWidth="1"/>
    <col min="13" max="14" width="18" style="5" customWidth="1"/>
    <col min="15" max="15" width="13.6640625" style="39" customWidth="1"/>
    <col min="16" max="16" width="12.33203125" style="40" customWidth="1"/>
    <col min="17" max="17" width="14.33203125" style="1" customWidth="1"/>
    <col min="18" max="19" width="8.88671875" style="1"/>
    <col min="20" max="20" width="11.21875" style="1" customWidth="1"/>
    <col min="21" max="21" width="8.88671875" style="1"/>
    <col min="22" max="22" width="12.33203125" style="1" customWidth="1"/>
    <col min="23" max="23" width="10.44140625" style="1" bestFit="1" customWidth="1"/>
    <col min="24" max="24" width="8.88671875" style="1"/>
  </cols>
  <sheetData>
    <row r="1" spans="1:24" ht="30" x14ac:dyDescent="0.25">
      <c r="A1" s="56" t="s">
        <v>0</v>
      </c>
      <c r="B1" s="56" t="s">
        <v>1</v>
      </c>
      <c r="C1" s="56"/>
      <c r="D1" s="57" t="s">
        <v>2</v>
      </c>
      <c r="E1" s="57" t="s">
        <v>3</v>
      </c>
      <c r="F1" s="58" t="s">
        <v>18</v>
      </c>
      <c r="G1" s="58" t="s">
        <v>19</v>
      </c>
      <c r="H1" s="59" t="s">
        <v>7</v>
      </c>
      <c r="I1" s="56" t="s">
        <v>5</v>
      </c>
      <c r="J1" s="56" t="s">
        <v>6</v>
      </c>
      <c r="K1" s="56" t="s">
        <v>4</v>
      </c>
      <c r="L1" s="31" t="s">
        <v>20</v>
      </c>
      <c r="M1" s="32" t="s">
        <v>9</v>
      </c>
      <c r="N1" s="60"/>
      <c r="O1" s="48" t="s">
        <v>11</v>
      </c>
      <c r="P1" s="51" t="s">
        <v>13</v>
      </c>
    </row>
    <row r="2" spans="1:24" x14ac:dyDescent="0.25">
      <c r="A2" s="11">
        <v>1</v>
      </c>
      <c r="B2" s="11">
        <v>1</v>
      </c>
      <c r="C2" s="11">
        <f>A2+B2</f>
        <v>2</v>
      </c>
      <c r="D2" s="12">
        <f>A2*1.028*0.6/162</f>
        <v>3.8074074074074074E-3</v>
      </c>
      <c r="E2" s="12">
        <f t="shared" ref="E2:E9" si="0">B2*0.96*0.027/242</f>
        <v>1.0710743801652892E-4</v>
      </c>
      <c r="F2" s="9">
        <f>D2/(A2+B2)*1000000</f>
        <v>1903.7037037037037</v>
      </c>
      <c r="G2" s="9">
        <f>E2/(A2+B2)*1000000</f>
        <v>53.553719008264459</v>
      </c>
      <c r="H2" s="10">
        <f t="shared" ref="H2:H28" si="1">E2/D2</f>
        <v>2.8131330996559154E-2</v>
      </c>
      <c r="I2" s="11">
        <v>85</v>
      </c>
      <c r="J2" s="11">
        <v>164</v>
      </c>
      <c r="K2" s="11">
        <v>0.57079999999999997</v>
      </c>
      <c r="L2" s="9">
        <f t="shared" ref="L2:L28" si="2">F2*(1-K2)</f>
        <v>817.06962962962973</v>
      </c>
      <c r="M2" s="10">
        <v>0.52067273340291775</v>
      </c>
      <c r="N2" s="61">
        <f>G2*(1-M2)</f>
        <v>25.66975774833961</v>
      </c>
      <c r="O2" s="43">
        <f>J2/(A2+B2)</f>
        <v>82</v>
      </c>
      <c r="P2" s="50">
        <f>LN(1/O2/60*LN(1/(1-M2)))</f>
        <v>-8.8084430217542184</v>
      </c>
      <c r="R2" s="1" t="s">
        <v>15</v>
      </c>
      <c r="S2" s="1" t="s">
        <v>16</v>
      </c>
      <c r="T2" s="1" t="s">
        <v>17</v>
      </c>
      <c r="V2" s="1" t="s">
        <v>12</v>
      </c>
      <c r="W2" s="1" t="s">
        <v>14</v>
      </c>
    </row>
    <row r="3" spans="1:24" s="8" customFormat="1" x14ac:dyDescent="0.25">
      <c r="A3" s="13">
        <v>1</v>
      </c>
      <c r="B3" s="13">
        <v>1</v>
      </c>
      <c r="C3" s="11">
        <f t="shared" ref="C3:C28" si="3">A3+B3</f>
        <v>2</v>
      </c>
      <c r="D3" s="14">
        <f t="shared" ref="D3:D15" si="4">A3*1.028*0.6/162</f>
        <v>3.8074074074074074E-3</v>
      </c>
      <c r="E3" s="14">
        <f t="shared" si="0"/>
        <v>1.0710743801652892E-4</v>
      </c>
      <c r="F3" s="15">
        <f t="shared" ref="F3:F28" si="5">D3/(A3+B3)*1000000</f>
        <v>1903.7037037037037</v>
      </c>
      <c r="G3" s="15">
        <f t="shared" ref="G3:G28" si="6">E3/(A3+B3)*1000000</f>
        <v>53.553719008264459</v>
      </c>
      <c r="H3" s="16">
        <f t="shared" si="1"/>
        <v>2.8131330996559154E-2</v>
      </c>
      <c r="I3" s="13">
        <v>85</v>
      </c>
      <c r="J3" s="13">
        <v>64</v>
      </c>
      <c r="K3" s="13">
        <v>0.35160000000000002</v>
      </c>
      <c r="L3" s="15">
        <f t="shared" si="2"/>
        <v>1234.3614814814814</v>
      </c>
      <c r="M3" s="16">
        <v>0.2210318655255509</v>
      </c>
      <c r="N3" s="61">
        <f t="shared" ref="N3:N28" si="7">G3*(1-M3)</f>
        <v>41.716640590036612</v>
      </c>
      <c r="O3" s="44">
        <f t="shared" ref="O3:O28" si="8">J3/(A3+B3)</f>
        <v>32</v>
      </c>
      <c r="P3" s="52">
        <f t="shared" ref="P3:P28" si="9">LN(1/O3/60*LN(1/(1-M3)))</f>
        <v>-8.9472346371568303</v>
      </c>
      <c r="Q3" s="7"/>
      <c r="R3" s="5">
        <v>85</v>
      </c>
      <c r="S3" s="5">
        <f>1/(R3+273.15)</f>
        <v>2.7921262041044259E-3</v>
      </c>
      <c r="T3" s="3">
        <f>AVERAGE(P2:P5,P10:P11,P12:P15,P16:P20,P24:P26)</f>
        <v>-8.875946447192204</v>
      </c>
      <c r="U3" s="7"/>
      <c r="V3" s="42">
        <f>EXP(31.983)</f>
        <v>77631935623680.391</v>
      </c>
      <c r="W3" s="41">
        <f>14654*8.3145</f>
        <v>121840.683</v>
      </c>
      <c r="X3" s="7"/>
    </row>
    <row r="4" spans="1:24" x14ac:dyDescent="0.25">
      <c r="A4" s="11">
        <v>0.5</v>
      </c>
      <c r="B4" s="11">
        <v>0.5</v>
      </c>
      <c r="C4" s="11">
        <f t="shared" si="3"/>
        <v>1</v>
      </c>
      <c r="D4" s="12">
        <f t="shared" si="4"/>
        <v>1.9037037037037037E-3</v>
      </c>
      <c r="E4" s="12">
        <f t="shared" si="0"/>
        <v>5.355371900826446E-5</v>
      </c>
      <c r="F4" s="9">
        <f t="shared" si="5"/>
        <v>1903.7037037037037</v>
      </c>
      <c r="G4" s="9">
        <f t="shared" si="6"/>
        <v>53.553719008264459</v>
      </c>
      <c r="H4" s="10">
        <f t="shared" si="1"/>
        <v>2.8131330996559154E-2</v>
      </c>
      <c r="I4" s="11">
        <v>85</v>
      </c>
      <c r="J4" s="11">
        <v>164</v>
      </c>
      <c r="K4" s="11">
        <v>0.73419999999999996</v>
      </c>
      <c r="L4" s="9">
        <f t="shared" si="2"/>
        <v>506.00444444444452</v>
      </c>
      <c r="M4" s="10">
        <v>0.73058385004223425</v>
      </c>
      <c r="N4" s="61">
        <f t="shared" si="7"/>
        <v>14.428236791126627</v>
      </c>
      <c r="O4" s="43">
        <f t="shared" si="8"/>
        <v>164</v>
      </c>
      <c r="P4" s="50">
        <f t="shared" si="9"/>
        <v>-8.9230409421383126</v>
      </c>
      <c r="R4" s="5">
        <v>90</v>
      </c>
      <c r="S4" s="5">
        <f t="shared" ref="S4:S7" si="10">1/(R4+273.15)</f>
        <v>2.7536830510808208E-3</v>
      </c>
      <c r="T4" s="3">
        <f>AVERAGE(P21:P23,P9)</f>
        <v>-8.4812080843421889</v>
      </c>
    </row>
    <row r="5" spans="1:24" x14ac:dyDescent="0.25">
      <c r="A5" s="11">
        <v>0.5</v>
      </c>
      <c r="B5" s="11">
        <v>0.5</v>
      </c>
      <c r="C5" s="11">
        <f t="shared" si="3"/>
        <v>1</v>
      </c>
      <c r="D5" s="12">
        <f t="shared" si="4"/>
        <v>1.9037037037037037E-3</v>
      </c>
      <c r="E5" s="12">
        <f>B5*0.96*0.027/242</f>
        <v>5.355371900826446E-5</v>
      </c>
      <c r="F5" s="9">
        <f t="shared" si="5"/>
        <v>1903.7037037037037</v>
      </c>
      <c r="G5" s="9">
        <f t="shared" si="6"/>
        <v>53.553719008264459</v>
      </c>
      <c r="H5" s="10">
        <f t="shared" si="1"/>
        <v>2.8131330996559154E-2</v>
      </c>
      <c r="I5" s="11">
        <v>85</v>
      </c>
      <c r="J5" s="11">
        <v>64</v>
      </c>
      <c r="K5" s="11">
        <v>0.46660000000000001</v>
      </c>
      <c r="L5" s="9">
        <f t="shared" si="2"/>
        <v>1015.4355555555555</v>
      </c>
      <c r="M5" s="10">
        <v>0.37841593434591952</v>
      </c>
      <c r="N5" s="61">
        <f t="shared" si="7"/>
        <v>33.288138392053234</v>
      </c>
      <c r="O5" s="43">
        <f t="shared" si="8"/>
        <v>64</v>
      </c>
      <c r="P5" s="50">
        <f t="shared" si="9"/>
        <v>-8.9966494507876202</v>
      </c>
      <c r="R5" s="5">
        <v>80</v>
      </c>
      <c r="S5" s="5">
        <f t="shared" si="10"/>
        <v>2.831657935721365E-3</v>
      </c>
      <c r="T5" s="3">
        <f>AVERAGE(P27,P8)</f>
        <v>-9.5423857078693679</v>
      </c>
    </row>
    <row r="6" spans="1:24" s="8" customFormat="1" ht="12" customHeight="1" x14ac:dyDescent="0.25">
      <c r="A6" s="13">
        <v>0.5</v>
      </c>
      <c r="B6" s="13">
        <v>0.5</v>
      </c>
      <c r="C6" s="11">
        <f t="shared" si="3"/>
        <v>1</v>
      </c>
      <c r="D6" s="14">
        <f t="shared" si="4"/>
        <v>1.9037037037037037E-3</v>
      </c>
      <c r="E6" s="14">
        <f t="shared" si="0"/>
        <v>5.355371900826446E-5</v>
      </c>
      <c r="F6" s="15">
        <f t="shared" si="5"/>
        <v>1903.7037037037037</v>
      </c>
      <c r="G6" s="15">
        <f t="shared" si="6"/>
        <v>53.553719008264459</v>
      </c>
      <c r="H6" s="16">
        <f t="shared" si="1"/>
        <v>2.8131330996559154E-2</v>
      </c>
      <c r="I6" s="13">
        <v>65</v>
      </c>
      <c r="J6" s="13">
        <v>164</v>
      </c>
      <c r="K6" s="13">
        <v>0.32879999999999998</v>
      </c>
      <c r="L6" s="15">
        <f t="shared" si="2"/>
        <v>1277.765925925926</v>
      </c>
      <c r="M6" s="16">
        <v>9.7594565713760101E-2</v>
      </c>
      <c r="N6" s="61">
        <f t="shared" si="7"/>
        <v>48.327167059296151</v>
      </c>
      <c r="O6" s="44">
        <f t="shared" si="8"/>
        <v>164</v>
      </c>
      <c r="P6" s="52">
        <f t="shared" si="9"/>
        <v>-11.470238126219277</v>
      </c>
      <c r="Q6" s="7"/>
      <c r="R6" s="5">
        <v>75</v>
      </c>
      <c r="S6" s="5">
        <f t="shared" si="10"/>
        <v>2.8723251472066642E-3</v>
      </c>
      <c r="T6" s="3">
        <f>AVERAGE(P28,P7)</f>
        <v>-9.9038091721644204</v>
      </c>
      <c r="U6" s="7"/>
      <c r="V6" s="7"/>
      <c r="W6" s="7"/>
      <c r="X6" s="7"/>
    </row>
    <row r="7" spans="1:24" s="8" customFormat="1" x14ac:dyDescent="0.25">
      <c r="A7" s="13">
        <v>0.5</v>
      </c>
      <c r="B7" s="13">
        <v>0.5</v>
      </c>
      <c r="C7" s="11">
        <f t="shared" si="3"/>
        <v>1</v>
      </c>
      <c r="D7" s="14">
        <f t="shared" si="4"/>
        <v>1.9037037037037037E-3</v>
      </c>
      <c r="E7" s="14">
        <f t="shared" si="0"/>
        <v>5.355371900826446E-5</v>
      </c>
      <c r="F7" s="15">
        <f t="shared" si="5"/>
        <v>1903.7037037037037</v>
      </c>
      <c r="G7" s="15">
        <f t="shared" si="6"/>
        <v>53.553719008264459</v>
      </c>
      <c r="H7" s="16">
        <f t="shared" si="1"/>
        <v>2.8131330996559154E-2</v>
      </c>
      <c r="I7" s="13">
        <v>75</v>
      </c>
      <c r="J7" s="13">
        <v>164</v>
      </c>
      <c r="K7" s="13">
        <v>0.47470000000000001</v>
      </c>
      <c r="L7" s="15">
        <f t="shared" si="2"/>
        <v>1000.0155555555556</v>
      </c>
      <c r="M7" s="16">
        <v>0.38590029881619009</v>
      </c>
      <c r="N7" s="61">
        <f t="shared" si="7"/>
        <v>32.887322840256921</v>
      </c>
      <c r="O7" s="44">
        <f t="shared" si="8"/>
        <v>164</v>
      </c>
      <c r="P7" s="52">
        <f t="shared" si="9"/>
        <v>-9.9124750054762725</v>
      </c>
      <c r="Q7" s="7"/>
      <c r="R7" s="5">
        <v>65</v>
      </c>
      <c r="S7" s="5">
        <f t="shared" si="10"/>
        <v>2.9572674848440043E-3</v>
      </c>
      <c r="T7" s="3">
        <f>AVERAGE(P6)</f>
        <v>-11.470238126219277</v>
      </c>
      <c r="U7" s="7"/>
      <c r="V7" s="7"/>
      <c r="W7" s="7"/>
      <c r="X7" s="7"/>
    </row>
    <row r="8" spans="1:24" x14ac:dyDescent="0.25">
      <c r="A8" s="11">
        <v>0.5</v>
      </c>
      <c r="B8" s="11">
        <v>0.5</v>
      </c>
      <c r="C8" s="11">
        <f t="shared" si="3"/>
        <v>1</v>
      </c>
      <c r="D8" s="12">
        <f t="shared" si="4"/>
        <v>1.9037037037037037E-3</v>
      </c>
      <c r="E8" s="12">
        <f t="shared" si="0"/>
        <v>5.355371900826446E-5</v>
      </c>
      <c r="F8" s="9">
        <f t="shared" si="5"/>
        <v>1903.7037037037037</v>
      </c>
      <c r="G8" s="9">
        <f t="shared" si="6"/>
        <v>53.553719008264459</v>
      </c>
      <c r="H8" s="10">
        <f t="shared" si="1"/>
        <v>2.8131330996559154E-2</v>
      </c>
      <c r="I8" s="11">
        <v>80</v>
      </c>
      <c r="J8" s="11">
        <v>164</v>
      </c>
      <c r="K8" s="17">
        <v>0.58340000000000003</v>
      </c>
      <c r="L8" s="9">
        <f t="shared" si="2"/>
        <v>793.08296296296294</v>
      </c>
      <c r="M8" s="10">
        <v>0.46446095589258596</v>
      </c>
      <c r="N8" s="61">
        <f t="shared" si="7"/>
        <v>28.680107486082999</v>
      </c>
      <c r="O8" s="43">
        <f t="shared" si="8"/>
        <v>164</v>
      </c>
      <c r="P8" s="50">
        <f t="shared" si="9"/>
        <v>-9.6650445952206923</v>
      </c>
    </row>
    <row r="9" spans="1:24" x14ac:dyDescent="0.25">
      <c r="A9" s="11">
        <v>0.5</v>
      </c>
      <c r="B9" s="11">
        <v>0.5</v>
      </c>
      <c r="C9" s="11">
        <f t="shared" si="3"/>
        <v>1</v>
      </c>
      <c r="D9" s="12">
        <f t="shared" si="4"/>
        <v>1.9037037037037037E-3</v>
      </c>
      <c r="E9" s="12">
        <f t="shared" si="0"/>
        <v>5.355371900826446E-5</v>
      </c>
      <c r="F9" s="9">
        <f t="shared" si="5"/>
        <v>1903.7037037037037</v>
      </c>
      <c r="G9" s="9">
        <f t="shared" si="6"/>
        <v>53.553719008264459</v>
      </c>
      <c r="H9" s="10">
        <f t="shared" si="1"/>
        <v>2.8131330996559154E-2</v>
      </c>
      <c r="I9" s="11">
        <v>90</v>
      </c>
      <c r="J9" s="11">
        <v>164</v>
      </c>
      <c r="K9" s="11">
        <v>0.82609999999999995</v>
      </c>
      <c r="L9" s="9">
        <f t="shared" si="2"/>
        <v>331.05407407407415</v>
      </c>
      <c r="M9" s="10">
        <v>0.81900821298743753</v>
      </c>
      <c r="N9" s="61">
        <f t="shared" si="7"/>
        <v>9.6927833044744194</v>
      </c>
      <c r="O9" s="43">
        <f t="shared" si="8"/>
        <v>164</v>
      </c>
      <c r="P9" s="50">
        <f t="shared" si="9"/>
        <v>-8.6581249396875943</v>
      </c>
    </row>
    <row r="10" spans="1:24" s="8" customFormat="1" x14ac:dyDescent="0.25">
      <c r="A10" s="18">
        <v>0.5</v>
      </c>
      <c r="B10" s="18">
        <v>0.5</v>
      </c>
      <c r="C10" s="11">
        <f t="shared" si="3"/>
        <v>1</v>
      </c>
      <c r="D10" s="19">
        <f>A10*1.028*0.8/162</f>
        <v>2.5382716049382717E-3</v>
      </c>
      <c r="E10" s="19">
        <f>B10*0.96*0.036/242</f>
        <v>7.1404958677685938E-5</v>
      </c>
      <c r="F10" s="20">
        <f t="shared" si="5"/>
        <v>2538.2716049382716</v>
      </c>
      <c r="G10" s="20">
        <f t="shared" si="6"/>
        <v>71.40495867768594</v>
      </c>
      <c r="H10" s="21">
        <f t="shared" si="1"/>
        <v>2.8131330996559147E-2</v>
      </c>
      <c r="I10" s="18">
        <v>85</v>
      </c>
      <c r="J10" s="18">
        <v>164</v>
      </c>
      <c r="K10" s="18">
        <v>0.79</v>
      </c>
      <c r="L10" s="20">
        <f t="shared" si="2"/>
        <v>533.03703703703695</v>
      </c>
      <c r="M10" s="21">
        <v>0.77776752438281704</v>
      </c>
      <c r="N10" s="61">
        <f t="shared" si="7"/>
        <v>15.868500738284798</v>
      </c>
      <c r="O10" s="45">
        <f t="shared" si="8"/>
        <v>164</v>
      </c>
      <c r="P10" s="53">
        <f t="shared" si="9"/>
        <v>-8.7860619817802377</v>
      </c>
      <c r="Q10" s="7"/>
      <c r="R10" s="7"/>
      <c r="S10" s="7"/>
      <c r="T10" s="7"/>
      <c r="U10" s="7"/>
      <c r="V10" s="7"/>
      <c r="W10" s="7"/>
      <c r="X10" s="7"/>
    </row>
    <row r="11" spans="1:24" x14ac:dyDescent="0.25">
      <c r="A11" s="22">
        <v>0.5</v>
      </c>
      <c r="B11" s="22">
        <v>0.5</v>
      </c>
      <c r="C11" s="11">
        <f t="shared" si="3"/>
        <v>1</v>
      </c>
      <c r="D11" s="23">
        <f>A11*1.028*0.4/162</f>
        <v>1.2691358024691359E-3</v>
      </c>
      <c r="E11" s="23">
        <f>B11*0.96*0.018/242</f>
        <v>3.5702479338842969E-5</v>
      </c>
      <c r="F11" s="24">
        <f t="shared" si="5"/>
        <v>1269.1358024691358</v>
      </c>
      <c r="G11" s="24">
        <f t="shared" si="6"/>
        <v>35.70247933884297</v>
      </c>
      <c r="H11" s="25">
        <f t="shared" si="1"/>
        <v>2.8131330996559147E-2</v>
      </c>
      <c r="I11" s="22">
        <v>85</v>
      </c>
      <c r="J11" s="22">
        <v>164</v>
      </c>
      <c r="K11" s="22">
        <v>0.71</v>
      </c>
      <c r="L11" s="24">
        <f t="shared" si="2"/>
        <v>368.04938271604942</v>
      </c>
      <c r="M11" s="25">
        <v>0.72861890823681996</v>
      </c>
      <c r="N11" s="61">
        <f t="shared" si="7"/>
        <v>9.6889778216275833</v>
      </c>
      <c r="O11" s="46">
        <f t="shared" si="8"/>
        <v>164</v>
      </c>
      <c r="P11" s="54">
        <f t="shared" si="9"/>
        <v>-8.9285972391392239</v>
      </c>
    </row>
    <row r="12" spans="1:24" x14ac:dyDescent="0.25">
      <c r="A12" s="26">
        <v>0.5</v>
      </c>
      <c r="B12" s="26">
        <v>0.5</v>
      </c>
      <c r="C12" s="11">
        <f t="shared" si="3"/>
        <v>1</v>
      </c>
      <c r="D12" s="27">
        <f t="shared" si="4"/>
        <v>1.9037037037037037E-3</v>
      </c>
      <c r="E12" s="27">
        <f>B12*0.96*0.00897/242</f>
        <v>1.7791735537190081E-5</v>
      </c>
      <c r="F12" s="28">
        <f t="shared" si="5"/>
        <v>1903.7037037037037</v>
      </c>
      <c r="G12" s="28">
        <f t="shared" si="6"/>
        <v>17.791735537190082</v>
      </c>
      <c r="H12" s="29">
        <f t="shared" si="1"/>
        <v>9.3458532977457633E-3</v>
      </c>
      <c r="I12" s="26">
        <v>85</v>
      </c>
      <c r="J12" s="26">
        <v>164</v>
      </c>
      <c r="K12" s="26">
        <v>0.54720000000000002</v>
      </c>
      <c r="L12" s="28">
        <f t="shared" si="2"/>
        <v>861.99703703703699</v>
      </c>
      <c r="M12" s="29">
        <v>0.7293745934285627</v>
      </c>
      <c r="N12" s="61">
        <f t="shared" si="7"/>
        <v>4.8148956633635551</v>
      </c>
      <c r="O12" s="47">
        <f t="shared" si="8"/>
        <v>164</v>
      </c>
      <c r="P12" s="50">
        <f t="shared" si="9"/>
        <v>-8.9264614997531915</v>
      </c>
    </row>
    <row r="13" spans="1:24" x14ac:dyDescent="0.25">
      <c r="A13" s="26">
        <v>0.5</v>
      </c>
      <c r="B13" s="26">
        <v>0.5</v>
      </c>
      <c r="C13" s="11">
        <f t="shared" si="3"/>
        <v>1</v>
      </c>
      <c r="D13" s="27">
        <f t="shared" si="4"/>
        <v>1.9037037037037037E-3</v>
      </c>
      <c r="E13" s="27">
        <f>B13*0.96*0.0179/242</f>
        <v>3.5504132231404955E-5</v>
      </c>
      <c r="F13" s="28">
        <f t="shared" si="5"/>
        <v>1903.7037037037037</v>
      </c>
      <c r="G13" s="28">
        <f t="shared" si="6"/>
        <v>35.504132231404952</v>
      </c>
      <c r="H13" s="29">
        <f t="shared" si="1"/>
        <v>1.8650030549570696E-2</v>
      </c>
      <c r="I13" s="26">
        <v>85</v>
      </c>
      <c r="J13" s="26">
        <v>164</v>
      </c>
      <c r="K13" s="26">
        <v>0.69159999999999999</v>
      </c>
      <c r="L13" s="28">
        <f t="shared" si="2"/>
        <v>587.10222222222228</v>
      </c>
      <c r="M13" s="29">
        <v>0.78337854407898377</v>
      </c>
      <c r="N13" s="61">
        <f t="shared" si="7"/>
        <v>7.6909568151792191</v>
      </c>
      <c r="O13" s="47">
        <f t="shared" si="8"/>
        <v>164</v>
      </c>
      <c r="P13" s="50">
        <f t="shared" si="9"/>
        <v>-8.7692021825961621</v>
      </c>
    </row>
    <row r="14" spans="1:24" x14ac:dyDescent="0.25">
      <c r="A14" s="26">
        <v>0.5</v>
      </c>
      <c r="B14" s="26">
        <v>0.5</v>
      </c>
      <c r="C14" s="11">
        <f t="shared" si="3"/>
        <v>1</v>
      </c>
      <c r="D14" s="27">
        <f t="shared" si="4"/>
        <v>1.9037037037037037E-3</v>
      </c>
      <c r="E14" s="27">
        <f>B14*0.96*0.0135/242</f>
        <v>2.677685950413223E-5</v>
      </c>
      <c r="F14" s="28">
        <f t="shared" si="5"/>
        <v>1903.7037037037037</v>
      </c>
      <c r="G14" s="28">
        <f t="shared" si="6"/>
        <v>26.776859504132229</v>
      </c>
      <c r="H14" s="29">
        <f t="shared" si="1"/>
        <v>1.4065665498279577E-2</v>
      </c>
      <c r="I14" s="26">
        <v>85</v>
      </c>
      <c r="J14" s="26">
        <v>164</v>
      </c>
      <c r="K14" s="26">
        <v>0.60319999999999996</v>
      </c>
      <c r="L14" s="28">
        <f t="shared" si="2"/>
        <v>755.38962962962967</v>
      </c>
      <c r="M14" s="29">
        <v>0.75800636362157703</v>
      </c>
      <c r="N14" s="61">
        <f t="shared" si="7"/>
        <v>6.4798296021990938</v>
      </c>
      <c r="O14" s="47">
        <f t="shared" si="8"/>
        <v>164</v>
      </c>
      <c r="P14" s="50">
        <f t="shared" si="9"/>
        <v>-8.8443686408212852</v>
      </c>
    </row>
    <row r="15" spans="1:24" x14ac:dyDescent="0.25">
      <c r="A15" s="26">
        <v>0.5</v>
      </c>
      <c r="B15" s="26">
        <v>0.5</v>
      </c>
      <c r="C15" s="11">
        <f t="shared" si="3"/>
        <v>1</v>
      </c>
      <c r="D15" s="27">
        <f t="shared" si="4"/>
        <v>1.9037037037037037E-3</v>
      </c>
      <c r="E15" s="27">
        <f>B15*0.96*0.0224/242</f>
        <v>4.44297520661157E-5</v>
      </c>
      <c r="F15" s="28">
        <f t="shared" si="5"/>
        <v>1903.7037037037037</v>
      </c>
      <c r="G15" s="28">
        <f t="shared" si="6"/>
        <v>44.429752066115704</v>
      </c>
      <c r="H15" s="29">
        <f t="shared" si="1"/>
        <v>2.3338585715663891E-2</v>
      </c>
      <c r="I15" s="26">
        <v>85</v>
      </c>
      <c r="J15" s="26">
        <v>164</v>
      </c>
      <c r="K15" s="26">
        <v>0.71109999999999995</v>
      </c>
      <c r="L15" s="28">
        <f t="shared" si="2"/>
        <v>549.98000000000013</v>
      </c>
      <c r="M15" s="29">
        <v>0.74194847871297198</v>
      </c>
      <c r="N15" s="61">
        <f t="shared" si="7"/>
        <v>11.465165111066634</v>
      </c>
      <c r="O15" s="47">
        <f t="shared" si="8"/>
        <v>164</v>
      </c>
      <c r="P15" s="50">
        <f t="shared" si="9"/>
        <v>-8.8907077210634586</v>
      </c>
    </row>
    <row r="16" spans="1:24" s="1" customFormat="1" x14ac:dyDescent="0.25">
      <c r="A16" s="30">
        <v>0.5</v>
      </c>
      <c r="B16" s="30">
        <v>0.5</v>
      </c>
      <c r="C16" s="11">
        <f t="shared" si="3"/>
        <v>1</v>
      </c>
      <c r="D16" s="37">
        <f>A16*0.99*0.3/162</f>
        <v>9.1666666666666665E-4</v>
      </c>
      <c r="E16" s="37">
        <f>B16*0.96*0.027/242</f>
        <v>5.355371900826446E-5</v>
      </c>
      <c r="F16" s="31">
        <f t="shared" si="5"/>
        <v>916.66666666666663</v>
      </c>
      <c r="G16" s="31">
        <f t="shared" si="6"/>
        <v>53.553719008264459</v>
      </c>
      <c r="H16" s="32">
        <f t="shared" si="1"/>
        <v>5.8422238918106682E-2</v>
      </c>
      <c r="I16" s="30">
        <v>85</v>
      </c>
      <c r="J16" s="30">
        <v>164</v>
      </c>
      <c r="K16" s="30">
        <v>0.71</v>
      </c>
      <c r="L16" s="31">
        <f t="shared" si="2"/>
        <v>265.83333333333337</v>
      </c>
      <c r="M16" s="32">
        <v>0.69504804163989875</v>
      </c>
      <c r="N16" s="61">
        <f t="shared" si="7"/>
        <v>16.331311489036825</v>
      </c>
      <c r="O16" s="48">
        <f t="shared" si="8"/>
        <v>164</v>
      </c>
      <c r="P16" s="51">
        <f t="shared" si="9"/>
        <v>-9.0222756602291945</v>
      </c>
    </row>
    <row r="17" spans="1:25" s="1" customFormat="1" x14ac:dyDescent="0.25">
      <c r="A17" s="30">
        <v>0.5</v>
      </c>
      <c r="B17" s="30">
        <v>0.5</v>
      </c>
      <c r="C17" s="11">
        <f t="shared" si="3"/>
        <v>1</v>
      </c>
      <c r="D17" s="37">
        <f>A17*1*0.4/162</f>
        <v>1.2345679012345679E-3</v>
      </c>
      <c r="E17" s="37">
        <f>B17*0.96*0.027/242</f>
        <v>5.355371900826446E-5</v>
      </c>
      <c r="F17" s="31">
        <f t="shared" si="5"/>
        <v>1234.5679012345679</v>
      </c>
      <c r="G17" s="31">
        <f t="shared" si="6"/>
        <v>53.553719008264459</v>
      </c>
      <c r="H17" s="32">
        <f t="shared" si="1"/>
        <v>4.3378512396694213E-2</v>
      </c>
      <c r="I17" s="30">
        <v>85</v>
      </c>
      <c r="J17" s="30">
        <v>164</v>
      </c>
      <c r="K17" s="30">
        <v>0.72750000000000004</v>
      </c>
      <c r="L17" s="31">
        <f t="shared" si="2"/>
        <v>336.41975308641969</v>
      </c>
      <c r="M17" s="32">
        <v>0.70391652764892121</v>
      </c>
      <c r="N17" s="61">
        <f t="shared" si="7"/>
        <v>15.856371081280912</v>
      </c>
      <c r="O17" s="48">
        <f t="shared" si="8"/>
        <v>164</v>
      </c>
      <c r="P17" s="51">
        <f t="shared" si="9"/>
        <v>-8.9977286198366055</v>
      </c>
    </row>
    <row r="18" spans="1:25" s="1" customFormat="1" x14ac:dyDescent="0.25">
      <c r="A18" s="30">
        <v>0.5</v>
      </c>
      <c r="B18" s="30">
        <v>0.5</v>
      </c>
      <c r="C18" s="11">
        <f t="shared" si="3"/>
        <v>1</v>
      </c>
      <c r="D18" s="37">
        <f>A18*1.01*0.5/162</f>
        <v>1.5586419753086419E-3</v>
      </c>
      <c r="E18" s="37">
        <f>B18*0.96*0.027/242</f>
        <v>5.355371900826446E-5</v>
      </c>
      <c r="F18" s="31">
        <f t="shared" si="5"/>
        <v>1558.641975308642</v>
      </c>
      <c r="G18" s="31">
        <f t="shared" si="6"/>
        <v>53.553719008264459</v>
      </c>
      <c r="H18" s="32">
        <f t="shared" si="1"/>
        <v>3.4359217739955816E-2</v>
      </c>
      <c r="I18" s="30">
        <v>85</v>
      </c>
      <c r="J18" s="30">
        <v>164</v>
      </c>
      <c r="K18" s="30">
        <v>0.7288</v>
      </c>
      <c r="L18" s="31">
        <f t="shared" si="2"/>
        <v>422.7037037037037</v>
      </c>
      <c r="M18" s="32">
        <v>0.72999270850601583</v>
      </c>
      <c r="N18" s="61">
        <f t="shared" si="7"/>
        <v>14.459894618851383</v>
      </c>
      <c r="O18" s="48">
        <f t="shared" si="8"/>
        <v>164</v>
      </c>
      <c r="P18" s="51">
        <f t="shared" si="9"/>
        <v>-8.9247135237595927</v>
      </c>
    </row>
    <row r="19" spans="1:25" s="1" customFormat="1" x14ac:dyDescent="0.25">
      <c r="A19" s="30">
        <v>0.5</v>
      </c>
      <c r="B19" s="30">
        <v>0.5</v>
      </c>
      <c r="C19" s="11">
        <f t="shared" si="3"/>
        <v>1</v>
      </c>
      <c r="D19" s="37">
        <f>A19*1.028*0.6/162</f>
        <v>1.9037037037037037E-3</v>
      </c>
      <c r="E19" s="37">
        <f t="shared" ref="E19:E20" si="11">B19*0.96*0.027/242</f>
        <v>5.355371900826446E-5</v>
      </c>
      <c r="F19" s="31">
        <f t="shared" si="5"/>
        <v>1903.7037037037037</v>
      </c>
      <c r="G19" s="31">
        <f t="shared" si="6"/>
        <v>53.553719008264459</v>
      </c>
      <c r="H19" s="32">
        <f t="shared" si="1"/>
        <v>2.8131330996559154E-2</v>
      </c>
      <c r="I19" s="30">
        <v>85</v>
      </c>
      <c r="J19" s="30">
        <v>164</v>
      </c>
      <c r="K19" s="30">
        <v>0.77749999999999997</v>
      </c>
      <c r="L19" s="31">
        <f t="shared" si="2"/>
        <v>423.57407407407413</v>
      </c>
      <c r="M19" s="32">
        <v>0.74094034253719132</v>
      </c>
      <c r="N19" s="61">
        <f t="shared" si="7"/>
        <v>13.873608102140496</v>
      </c>
      <c r="O19" s="48">
        <f t="shared" si="8"/>
        <v>164</v>
      </c>
      <c r="P19" s="51">
        <f t="shared" si="9"/>
        <v>-8.8935903040455138</v>
      </c>
    </row>
    <row r="20" spans="1:25" s="1" customFormat="1" x14ac:dyDescent="0.25">
      <c r="A20" s="30">
        <v>0.5</v>
      </c>
      <c r="B20" s="30">
        <v>0.5</v>
      </c>
      <c r="C20" s="11">
        <f t="shared" si="3"/>
        <v>1</v>
      </c>
      <c r="D20" s="37">
        <f>A20*1.04*0.8/162</f>
        <v>2.5679012345679016E-3</v>
      </c>
      <c r="E20" s="37">
        <f t="shared" si="11"/>
        <v>5.355371900826446E-5</v>
      </c>
      <c r="F20" s="31">
        <f t="shared" si="5"/>
        <v>2567.9012345679016</v>
      </c>
      <c r="G20" s="31">
        <f t="shared" si="6"/>
        <v>53.553719008264459</v>
      </c>
      <c r="H20" s="32">
        <f t="shared" si="1"/>
        <v>2.0855054036872215E-2</v>
      </c>
      <c r="I20" s="30">
        <v>85</v>
      </c>
      <c r="J20" s="30">
        <v>164</v>
      </c>
      <c r="K20" s="30">
        <v>0.78</v>
      </c>
      <c r="L20" s="31">
        <f t="shared" si="2"/>
        <v>564.93827160493834</v>
      </c>
      <c r="M20" s="32">
        <v>0.78239438217089352</v>
      </c>
      <c r="N20" s="61">
        <f t="shared" si="7"/>
        <v>11.653590111839751</v>
      </c>
      <c r="O20" s="48">
        <f t="shared" si="8"/>
        <v>164</v>
      </c>
      <c r="P20" s="51">
        <f t="shared" si="9"/>
        <v>-8.7721700583777533</v>
      </c>
    </row>
    <row r="21" spans="1:25" x14ac:dyDescent="0.25">
      <c r="A21" s="33">
        <v>0.5</v>
      </c>
      <c r="B21" s="33">
        <v>0.5</v>
      </c>
      <c r="C21" s="11">
        <f t="shared" si="3"/>
        <v>1</v>
      </c>
      <c r="D21" s="38">
        <f>A21*1.028*0.6/162</f>
        <v>1.9037037037037037E-3</v>
      </c>
      <c r="E21" s="38">
        <f>B21*0.96*0.027/242</f>
        <v>5.355371900826446E-5</v>
      </c>
      <c r="F21" s="34">
        <f t="shared" si="5"/>
        <v>1903.7037037037037</v>
      </c>
      <c r="G21" s="34">
        <f t="shared" si="6"/>
        <v>53.553719008264459</v>
      </c>
      <c r="H21" s="35">
        <f t="shared" si="1"/>
        <v>2.8131330996559154E-2</v>
      </c>
      <c r="I21" s="33">
        <v>90</v>
      </c>
      <c r="J21" s="33">
        <v>64</v>
      </c>
      <c r="K21" s="33">
        <v>0.63380000000000003</v>
      </c>
      <c r="L21" s="34">
        <f t="shared" si="2"/>
        <v>697.13629629629622</v>
      </c>
      <c r="M21" s="36">
        <v>0.65608359397104332</v>
      </c>
      <c r="N21" s="61">
        <f t="shared" si="7"/>
        <v>18.418002570806934</v>
      </c>
      <c r="O21" s="49">
        <f t="shared" si="8"/>
        <v>64</v>
      </c>
      <c r="P21" s="55">
        <f t="shared" si="9"/>
        <v>-8.1880424677568442</v>
      </c>
    </row>
    <row r="22" spans="1:25" x14ac:dyDescent="0.25">
      <c r="A22" s="33">
        <v>0.6</v>
      </c>
      <c r="B22" s="33">
        <v>0.6</v>
      </c>
      <c r="C22" s="11">
        <f t="shared" si="3"/>
        <v>1.2</v>
      </c>
      <c r="D22" s="38">
        <f t="shared" ref="D22:D28" si="12">A22*1.028*0.6/162</f>
        <v>2.2844444444444444E-3</v>
      </c>
      <c r="E22" s="38">
        <f t="shared" ref="E22:E28" si="13">B22*0.96*0.027/242</f>
        <v>6.426446280991735E-5</v>
      </c>
      <c r="F22" s="34">
        <f t="shared" si="5"/>
        <v>1903.7037037037037</v>
      </c>
      <c r="G22" s="34">
        <f t="shared" si="6"/>
        <v>53.553719008264459</v>
      </c>
      <c r="H22" s="35">
        <f t="shared" si="1"/>
        <v>2.8131330996559151E-2</v>
      </c>
      <c r="I22" s="33">
        <v>90</v>
      </c>
      <c r="J22" s="33">
        <v>164</v>
      </c>
      <c r="K22" s="33">
        <v>0.80010000000000003</v>
      </c>
      <c r="L22" s="34">
        <f t="shared" si="2"/>
        <v>380.55037037037033</v>
      </c>
      <c r="M22" s="36">
        <v>0.87335131035927993</v>
      </c>
      <c r="N22" s="61">
        <f t="shared" si="7"/>
        <v>6.7825083377840167</v>
      </c>
      <c r="O22" s="49">
        <f t="shared" si="8"/>
        <v>136.66666666666669</v>
      </c>
      <c r="P22" s="55">
        <f t="shared" si="9"/>
        <v>-8.2861113543241594</v>
      </c>
    </row>
    <row r="23" spans="1:25" x14ac:dyDescent="0.25">
      <c r="A23" s="33">
        <v>0.7</v>
      </c>
      <c r="B23" s="33">
        <v>0.7</v>
      </c>
      <c r="C23" s="11">
        <f t="shared" si="3"/>
        <v>1.4</v>
      </c>
      <c r="D23" s="38">
        <f t="shared" si="12"/>
        <v>2.6651851851851849E-3</v>
      </c>
      <c r="E23" s="38">
        <f t="shared" si="13"/>
        <v>7.4975206611570239E-5</v>
      </c>
      <c r="F23" s="34">
        <f t="shared" si="5"/>
        <v>1903.7037037037037</v>
      </c>
      <c r="G23" s="34">
        <f t="shared" si="6"/>
        <v>53.553719008264459</v>
      </c>
      <c r="H23" s="35">
        <f t="shared" si="1"/>
        <v>2.8131330996559154E-2</v>
      </c>
      <c r="I23" s="33">
        <v>90</v>
      </c>
      <c r="J23" s="33">
        <v>164</v>
      </c>
      <c r="K23" s="33">
        <v>0.79020000000000001</v>
      </c>
      <c r="L23" s="34">
        <f t="shared" si="2"/>
        <v>399.39703703703702</v>
      </c>
      <c r="M23" s="36">
        <v>0.65608359397104332</v>
      </c>
      <c r="N23" s="61">
        <f t="shared" si="7"/>
        <v>18.418002570806934</v>
      </c>
      <c r="O23" s="49">
        <f t="shared" si="8"/>
        <v>117.14285714285715</v>
      </c>
      <c r="P23" s="55">
        <f t="shared" si="9"/>
        <v>-8.7925535756001594</v>
      </c>
    </row>
    <row r="24" spans="1:25" x14ac:dyDescent="0.25">
      <c r="A24" s="33">
        <v>0.4</v>
      </c>
      <c r="B24" s="33">
        <v>0.4</v>
      </c>
      <c r="C24" s="11">
        <f t="shared" si="3"/>
        <v>0.8</v>
      </c>
      <c r="D24" s="38">
        <f t="shared" si="12"/>
        <v>1.5229629629629629E-3</v>
      </c>
      <c r="E24" s="38">
        <f t="shared" si="13"/>
        <v>4.2842975206611571E-5</v>
      </c>
      <c r="F24" s="34">
        <f t="shared" si="5"/>
        <v>1903.7037037037037</v>
      </c>
      <c r="G24" s="34">
        <f t="shared" si="6"/>
        <v>53.553719008264459</v>
      </c>
      <c r="H24" s="35">
        <f t="shared" si="1"/>
        <v>2.8131330996559154E-2</v>
      </c>
      <c r="I24" s="33">
        <v>85</v>
      </c>
      <c r="J24" s="33">
        <f t="shared" ref="J24" si="14">100+64</f>
        <v>164</v>
      </c>
      <c r="K24" s="33">
        <v>0.85170000000000001</v>
      </c>
      <c r="L24" s="34">
        <f t="shared" si="2"/>
        <v>282.31925925925924</v>
      </c>
      <c r="M24" s="36">
        <v>0.85491405481171578</v>
      </c>
      <c r="N24" s="61">
        <f t="shared" si="7"/>
        <v>7.7698919406618314</v>
      </c>
      <c r="O24" s="49">
        <f t="shared" si="8"/>
        <v>205</v>
      </c>
      <c r="P24" s="55">
        <f t="shared" si="9"/>
        <v>-8.7596122902320772</v>
      </c>
    </row>
    <row r="25" spans="1:25" x14ac:dyDescent="0.25">
      <c r="A25" s="33">
        <v>0.4</v>
      </c>
      <c r="B25" s="33">
        <v>0.4</v>
      </c>
      <c r="C25" s="11">
        <f t="shared" si="3"/>
        <v>0.8</v>
      </c>
      <c r="D25" s="38">
        <f t="shared" si="12"/>
        <v>1.5229629629629629E-3</v>
      </c>
      <c r="E25" s="38">
        <f t="shared" si="13"/>
        <v>4.2842975206611571E-5</v>
      </c>
      <c r="F25" s="34">
        <f t="shared" si="5"/>
        <v>1903.7037037037037</v>
      </c>
      <c r="G25" s="34">
        <f t="shared" si="6"/>
        <v>53.553719008264459</v>
      </c>
      <c r="H25" s="35">
        <f t="shared" si="1"/>
        <v>2.8131330996559154E-2</v>
      </c>
      <c r="I25" s="33">
        <v>85</v>
      </c>
      <c r="J25" s="33">
        <v>64</v>
      </c>
      <c r="K25" s="33">
        <v>0.55979999999999996</v>
      </c>
      <c r="L25" s="34">
        <f t="shared" si="2"/>
        <v>838.01037037037042</v>
      </c>
      <c r="M25" s="36">
        <v>0.50522047125250225</v>
      </c>
      <c r="N25" s="61">
        <f t="shared" si="7"/>
        <v>26.497283853585003</v>
      </c>
      <c r="O25" s="49">
        <f t="shared" si="8"/>
        <v>80</v>
      </c>
      <c r="P25" s="55">
        <f t="shared" si="9"/>
        <v>-8.8278553334141261</v>
      </c>
    </row>
    <row r="26" spans="1:25" x14ac:dyDescent="0.25">
      <c r="A26" s="33">
        <v>0.6</v>
      </c>
      <c r="B26" s="33">
        <v>0.6</v>
      </c>
      <c r="C26" s="11">
        <f t="shared" si="3"/>
        <v>1.2</v>
      </c>
      <c r="D26" s="38">
        <f t="shared" si="12"/>
        <v>2.2844444444444444E-3</v>
      </c>
      <c r="E26" s="38">
        <f t="shared" si="13"/>
        <v>6.426446280991735E-5</v>
      </c>
      <c r="F26" s="34">
        <f t="shared" si="5"/>
        <v>1903.7037037037037</v>
      </c>
      <c r="G26" s="34">
        <f t="shared" si="6"/>
        <v>53.553719008264459</v>
      </c>
      <c r="H26" s="35">
        <f t="shared" si="1"/>
        <v>2.8131330996559151E-2</v>
      </c>
      <c r="I26" s="33">
        <v>85</v>
      </c>
      <c r="J26" s="33">
        <v>164</v>
      </c>
      <c r="K26" s="33">
        <v>0.79810000000000003</v>
      </c>
      <c r="L26" s="34">
        <f t="shared" si="2"/>
        <v>384.3577777777777</v>
      </c>
      <c r="M26" s="36">
        <v>0.72789406835493831</v>
      </c>
      <c r="N26" s="61">
        <f t="shared" si="7"/>
        <v>14.57228460380165</v>
      </c>
      <c r="O26" s="49">
        <f t="shared" si="8"/>
        <v>136.66666666666669</v>
      </c>
      <c r="P26" s="55">
        <f t="shared" si="9"/>
        <v>-8.7483229425742799</v>
      </c>
    </row>
    <row r="27" spans="1:25" x14ac:dyDescent="0.25">
      <c r="A27" s="33">
        <v>0.4</v>
      </c>
      <c r="B27" s="33">
        <v>0.4</v>
      </c>
      <c r="C27" s="11">
        <f t="shared" si="3"/>
        <v>0.8</v>
      </c>
      <c r="D27" s="38">
        <f t="shared" si="12"/>
        <v>1.5229629629629629E-3</v>
      </c>
      <c r="E27" s="38">
        <f t="shared" si="13"/>
        <v>4.2842975206611571E-5</v>
      </c>
      <c r="F27" s="34">
        <f t="shared" si="5"/>
        <v>1903.7037037037037</v>
      </c>
      <c r="G27" s="34">
        <f t="shared" si="6"/>
        <v>53.553719008264459</v>
      </c>
      <c r="H27" s="35">
        <f t="shared" si="1"/>
        <v>2.8131330996559154E-2</v>
      </c>
      <c r="I27" s="33">
        <v>80</v>
      </c>
      <c r="J27" s="33">
        <v>164</v>
      </c>
      <c r="K27" s="33">
        <v>0.72399999999999998</v>
      </c>
      <c r="L27" s="34">
        <f t="shared" si="2"/>
        <v>525.42222222222222</v>
      </c>
      <c r="M27" s="36">
        <v>0.63124784691585645</v>
      </c>
      <c r="N27" s="61">
        <f t="shared" si="7"/>
        <v>19.748049189960746</v>
      </c>
      <c r="O27" s="49">
        <f t="shared" si="8"/>
        <v>205</v>
      </c>
      <c r="P27" s="55">
        <f t="shared" si="9"/>
        <v>-9.4197268205180453</v>
      </c>
    </row>
    <row r="28" spans="1:25" x14ac:dyDescent="0.25">
      <c r="A28" s="33">
        <v>0.3</v>
      </c>
      <c r="B28" s="33">
        <v>0.3</v>
      </c>
      <c r="C28" s="11">
        <f t="shared" si="3"/>
        <v>0.6</v>
      </c>
      <c r="D28" s="38">
        <f t="shared" si="12"/>
        <v>1.1422222222222222E-3</v>
      </c>
      <c r="E28" s="38">
        <f t="shared" si="13"/>
        <v>3.2132231404958675E-5</v>
      </c>
      <c r="F28" s="34">
        <f t="shared" si="5"/>
        <v>1903.7037037037037</v>
      </c>
      <c r="G28" s="34">
        <f t="shared" si="6"/>
        <v>53.553719008264459</v>
      </c>
      <c r="H28" s="35">
        <f t="shared" si="1"/>
        <v>2.8131330996559151E-2</v>
      </c>
      <c r="I28" s="33">
        <v>75</v>
      </c>
      <c r="J28" s="33">
        <v>164</v>
      </c>
      <c r="K28" s="33">
        <v>0.69130000000000003</v>
      </c>
      <c r="L28" s="34">
        <f t="shared" si="2"/>
        <v>587.67333333333329</v>
      </c>
      <c r="M28" s="36">
        <v>0.56258412675750369</v>
      </c>
      <c r="N28" s="61">
        <f t="shared" si="7"/>
        <v>23.425246765383271</v>
      </c>
      <c r="O28" s="49">
        <f t="shared" si="8"/>
        <v>273.33333333333337</v>
      </c>
      <c r="P28" s="55">
        <f t="shared" si="9"/>
        <v>-9.8951433388525682</v>
      </c>
    </row>
    <row r="31" spans="1:25" x14ac:dyDescent="0.25">
      <c r="Q31" s="40"/>
      <c r="Y31" s="1"/>
    </row>
    <row r="32" spans="1:25" x14ac:dyDescent="0.25">
      <c r="Q32" s="40"/>
      <c r="Y32" s="1"/>
    </row>
    <row r="33" spans="17:25" x14ac:dyDescent="0.25">
      <c r="Q33" s="40"/>
      <c r="Y33" s="1"/>
    </row>
    <row r="34" spans="17:25" x14ac:dyDescent="0.25">
      <c r="Q34" s="40"/>
      <c r="Y34" s="1"/>
    </row>
    <row r="35" spans="17:25" x14ac:dyDescent="0.25">
      <c r="Q35" s="40"/>
      <c r="Y35" s="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41A4-7C79-4101-B636-55A66FFBA12F}">
  <dimension ref="A1:K9"/>
  <sheetViews>
    <sheetView zoomScale="130" zoomScaleNormal="130" workbookViewId="0">
      <selection activeCell="I3" sqref="I3:K7"/>
    </sheetView>
  </sheetViews>
  <sheetFormatPr defaultRowHeight="13.8" x14ac:dyDescent="0.25"/>
  <cols>
    <col min="1" max="1" width="23.33203125" customWidth="1"/>
    <col min="2" max="2" width="17.33203125" customWidth="1"/>
    <col min="3" max="3" width="16.44140625" customWidth="1"/>
    <col min="5" max="5" width="18.77734375" customWidth="1"/>
    <col min="6" max="6" width="17.33203125" customWidth="1"/>
    <col min="7" max="7" width="16.21875" customWidth="1"/>
    <col min="10" max="10" width="14.88671875" customWidth="1"/>
    <col min="11" max="11" width="16" customWidth="1"/>
  </cols>
  <sheetData>
    <row r="1" spans="1:11" x14ac:dyDescent="0.25">
      <c r="A1" s="62" t="s">
        <v>22</v>
      </c>
      <c r="B1" s="62"/>
      <c r="C1" s="62"/>
      <c r="E1" s="62" t="s">
        <v>25</v>
      </c>
      <c r="F1" s="62"/>
      <c r="G1" s="62"/>
      <c r="I1" s="62" t="s">
        <v>23</v>
      </c>
      <c r="J1" s="62"/>
      <c r="K1" s="62"/>
    </row>
    <row r="2" spans="1:11" x14ac:dyDescent="0.25">
      <c r="A2" s="11" t="s">
        <v>27</v>
      </c>
      <c r="B2" s="11" t="s">
        <v>24</v>
      </c>
      <c r="C2" s="11" t="s">
        <v>21</v>
      </c>
      <c r="E2" s="11" t="s">
        <v>26</v>
      </c>
      <c r="F2" s="11" t="s">
        <v>24</v>
      </c>
      <c r="G2" s="11" t="s">
        <v>21</v>
      </c>
      <c r="I2" s="11" t="s">
        <v>8</v>
      </c>
      <c r="J2" s="11" t="s">
        <v>10</v>
      </c>
      <c r="K2" s="11" t="s">
        <v>21</v>
      </c>
    </row>
    <row r="3" spans="1:11" x14ac:dyDescent="0.25">
      <c r="A3" s="9">
        <v>0.43315895372233398</v>
      </c>
      <c r="B3" s="9">
        <v>72.9374593428563</v>
      </c>
      <c r="C3" s="11">
        <v>54.72</v>
      </c>
      <c r="E3" s="11">
        <v>15</v>
      </c>
      <c r="F3" s="9">
        <v>69.504804163989874</v>
      </c>
      <c r="G3" s="9">
        <v>71</v>
      </c>
      <c r="I3" s="11">
        <v>65</v>
      </c>
      <c r="J3" s="9">
        <v>9.7594565713760097</v>
      </c>
      <c r="K3" s="17">
        <v>32.880000000000003</v>
      </c>
    </row>
    <row r="4" spans="1:11" x14ac:dyDescent="0.25">
      <c r="A4" s="9">
        <v>0.65191146881287698</v>
      </c>
      <c r="B4" s="9">
        <v>75.800636362157704</v>
      </c>
      <c r="C4" s="11">
        <v>60.32</v>
      </c>
      <c r="E4" s="11">
        <v>20</v>
      </c>
      <c r="F4" s="9">
        <v>70.391652764892115</v>
      </c>
      <c r="G4" s="9">
        <v>72.75</v>
      </c>
      <c r="I4" s="11">
        <v>75</v>
      </c>
      <c r="J4" s="9">
        <v>38.35</v>
      </c>
      <c r="K4" s="17">
        <v>47.47</v>
      </c>
    </row>
    <row r="5" spans="1:11" x14ac:dyDescent="0.25">
      <c r="A5" s="9">
        <v>0.86438631790744502</v>
      </c>
      <c r="B5" s="9">
        <v>78.337854407898405</v>
      </c>
      <c r="C5" s="11">
        <v>69.16</v>
      </c>
      <c r="E5" s="11">
        <v>25</v>
      </c>
      <c r="F5" s="9">
        <v>72.99927085060159</v>
      </c>
      <c r="G5" s="9">
        <v>72.88</v>
      </c>
      <c r="I5" s="11">
        <v>80</v>
      </c>
      <c r="J5" s="9">
        <v>46.446095589258597</v>
      </c>
      <c r="K5" s="17">
        <v>58.34</v>
      </c>
    </row>
    <row r="6" spans="1:11" x14ac:dyDescent="0.25">
      <c r="A6" s="9">
        <v>1.0816901408450701</v>
      </c>
      <c r="B6" s="9">
        <v>74.194847871297199</v>
      </c>
      <c r="C6" s="11">
        <v>71.11</v>
      </c>
      <c r="E6" s="11">
        <v>30</v>
      </c>
      <c r="F6" s="9">
        <v>74.09403425371913</v>
      </c>
      <c r="G6" s="9">
        <v>77.75</v>
      </c>
      <c r="I6" s="11">
        <v>85</v>
      </c>
      <c r="J6" s="9">
        <v>73.06</v>
      </c>
      <c r="K6" s="17">
        <v>73.42</v>
      </c>
    </row>
    <row r="7" spans="1:11" x14ac:dyDescent="0.25">
      <c r="A7" s="9">
        <v>1.30382293762575</v>
      </c>
      <c r="B7" s="9">
        <v>73.058385004223396</v>
      </c>
      <c r="C7" s="11">
        <v>73.42</v>
      </c>
      <c r="E7" s="11">
        <v>40</v>
      </c>
      <c r="F7" s="9">
        <v>78.239438217089358</v>
      </c>
      <c r="G7" s="9">
        <v>78</v>
      </c>
      <c r="I7" s="11">
        <v>90</v>
      </c>
      <c r="J7" s="9">
        <v>81.900821298743793</v>
      </c>
      <c r="K7" s="17">
        <v>82.61</v>
      </c>
    </row>
    <row r="9" spans="1:11" x14ac:dyDescent="0.25">
      <c r="E9" s="1"/>
      <c r="F9" s="3"/>
    </row>
  </sheetData>
  <mergeCells count="3">
    <mergeCell ref="A1:C1"/>
    <mergeCell ref="I1:K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Junqi Weng</cp:lastModifiedBy>
  <dcterms:created xsi:type="dcterms:W3CDTF">2025-09-08T05:06:24Z</dcterms:created>
  <dcterms:modified xsi:type="dcterms:W3CDTF">2026-02-02T11:48:24Z</dcterms:modified>
</cp:coreProperties>
</file>